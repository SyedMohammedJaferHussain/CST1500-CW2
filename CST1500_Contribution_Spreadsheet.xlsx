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923F7BD-3328-4C95-9F9E-36F94B35D2F1}" xr6:coauthVersionLast="47" xr6:coauthVersionMax="47" xr10:uidLastSave="{00000000-0000-0000-0000-000000000000}"/>
  <workbookProtection workbookAlgorithmName="SHA-512" workbookHashValue="X4ZlR6JvWvWiB8zDukt5NYZ+6LUTy5vldl3/puEK4WeKo43ORe1O7rqBGokIeM8B6uDTq5MPEFA8n6QMvQb6Ng==" workbookSaltValue="6cw7hsiy8i7NdCSQb2xZ6Q==" workbookSpinCount="100000" lockStructure="1"/>
  <bookViews>
    <workbookView xWindow="-108" yWindow="-108" windowWidth="23256" windowHeight="13176" xr2:uid="{00000000-000D-0000-FFFF-FFFF00000000}"/>
  </bookViews>
  <sheets>
    <sheet name="Group Size 3" sheetId="1" r:id="rId1"/>
    <sheet name="Group Size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/>
  <c r="E13" i="4" a="1"/>
  <c r="E13" i="4" s="1"/>
  <c r="H11" i="1" l="1"/>
  <c r="H8" i="4" l="1"/>
  <c r="H9" i="4"/>
  <c r="H10" i="4"/>
  <c r="H11" i="4"/>
  <c r="H7" i="4"/>
  <c r="F13" i="4" a="1"/>
  <c r="F13" i="4" s="1"/>
  <c r="A24" i="4"/>
  <c r="A23" i="4"/>
  <c r="A20" i="4"/>
  <c r="A19" i="4"/>
  <c r="C12" i="4"/>
  <c r="B12" i="4"/>
  <c r="G11" i="4"/>
  <c r="G10" i="4"/>
  <c r="G9" i="4"/>
  <c r="G8" i="4"/>
  <c r="G7" i="4"/>
  <c r="F6" i="4"/>
  <c r="E6" i="4"/>
  <c r="A27" i="1"/>
  <c r="A26" i="1"/>
  <c r="A25" i="1"/>
  <c r="G7" i="1"/>
  <c r="F7" i="1"/>
  <c r="E7" i="1"/>
  <c r="A16" i="4" l="1"/>
  <c r="B20" i="4" s="1"/>
  <c r="H9" i="1"/>
  <c r="H10" i="1"/>
  <c r="H12" i="1"/>
  <c r="H8" i="1"/>
  <c r="B19" i="4" l="1"/>
  <c r="B23" i="4" s="1"/>
  <c r="C23" i="4" s="1"/>
  <c r="B24" i="4"/>
  <c r="C24" i="4" s="1"/>
  <c r="G14" i="1" a="1"/>
  <c r="G14" i="1" s="1"/>
  <c r="F14" i="1" a="1"/>
  <c r="F14" i="1" s="1"/>
  <c r="E14" i="1" a="1"/>
  <c r="E14" i="1" s="1"/>
  <c r="C13" i="1"/>
  <c r="B13" i="1"/>
  <c r="A17" i="1" l="1"/>
  <c r="B20" i="1" s="1"/>
  <c r="B22" i="1" l="1"/>
  <c r="B27" i="1" s="1"/>
  <c r="C27" i="1" s="1"/>
  <c r="B21" i="1"/>
  <c r="B26" i="1" s="1"/>
  <c r="C26" i="1" s="1"/>
  <c r="B25" i="1"/>
  <c r="C25" i="1" s="1"/>
</calcChain>
</file>

<file path=xl/sharedStrings.xml><?xml version="1.0" encoding="utf-8"?>
<sst xmlns="http://schemas.openxmlformats.org/spreadsheetml/2006/main" count="48" uniqueCount="27">
  <si>
    <t>Average contribution</t>
  </si>
  <si>
    <t>Weighted  Mark</t>
  </si>
  <si>
    <t>Task</t>
  </si>
  <si>
    <t>Carol Contribution</t>
  </si>
  <si>
    <t>Marks Available</t>
  </si>
  <si>
    <t>Marks Awarded</t>
  </si>
  <si>
    <t>Contribution Check</t>
  </si>
  <si>
    <t>TOTAL:</t>
  </si>
  <si>
    <t>MARKS CONTRIBUTED:</t>
  </si>
  <si>
    <t>Student 1 name:</t>
  </si>
  <si>
    <t>Student 2 name:</t>
  </si>
  <si>
    <t>Student 3 name:</t>
  </si>
  <si>
    <t>FINAL MARK</t>
  </si>
  <si>
    <t>Comments</t>
  </si>
  <si>
    <t>GENERAL COMMENTS</t>
  </si>
  <si>
    <t>CST1500 - Coursework 2 / Python Groupwork - Contribution Spreadsheet</t>
  </si>
  <si>
    <t>StudentName1</t>
  </si>
  <si>
    <t>StudentName2</t>
  </si>
  <si>
    <t>Report</t>
  </si>
  <si>
    <t>Demonstration</t>
  </si>
  <si>
    <t>FCFS</t>
  </si>
  <si>
    <t>SJF</t>
  </si>
  <si>
    <t>RR</t>
  </si>
  <si>
    <t>% from 50%</t>
  </si>
  <si>
    <t>Syed Mohammed Jafer Hussain</t>
  </si>
  <si>
    <t>Amr Asy</t>
  </si>
  <si>
    <t>Saifana Maryam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</si>
</sst>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0" fillId="4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2" fontId="0" fillId="2" borderId="0" xfId="0" applyNumberFormat="1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workbookViewId="0">
      <selection activeCell="E11" sqref="E11:G11"/>
    </sheetView>
  </sheetViews>
  <sheetFormatPr defaultRowHeight="14.4" x14ac:dyDescent="0.3"/>
  <cols>
    <col min="1" max="1" width="37.5546875" customWidth="1"/>
    <col min="2" max="2" width="15.109375" customWidth="1"/>
    <col min="3" max="3" width="15.6640625" customWidth="1"/>
    <col min="4" max="4" width="37" customWidth="1"/>
    <col min="5" max="5" width="18" customWidth="1"/>
    <col min="6" max="6" width="16.88671875" customWidth="1"/>
    <col min="7" max="7" width="17.88671875" customWidth="1"/>
    <col min="8" max="8" width="18.88671875" customWidth="1"/>
    <col min="9" max="9" width="0.109375" hidden="1" customWidth="1"/>
    <col min="10" max="10" width="23.44140625" customWidth="1"/>
    <col min="11" max="11" width="16.88671875" customWidth="1"/>
    <col min="12" max="12" width="12.6640625" customWidth="1"/>
  </cols>
  <sheetData>
    <row r="1" spans="1:13" ht="21" x14ac:dyDescent="0.4">
      <c r="A1" s="10" t="s">
        <v>15</v>
      </c>
    </row>
    <row r="3" spans="1:13" x14ac:dyDescent="0.3">
      <c r="A3" s="1" t="s">
        <v>9</v>
      </c>
      <c r="B3" s="7" t="s">
        <v>24</v>
      </c>
    </row>
    <row r="4" spans="1:13" x14ac:dyDescent="0.3">
      <c r="A4" s="1" t="s">
        <v>10</v>
      </c>
      <c r="B4" s="7" t="s">
        <v>25</v>
      </c>
    </row>
    <row r="5" spans="1:13" x14ac:dyDescent="0.3">
      <c r="A5" s="1" t="s">
        <v>11</v>
      </c>
      <c r="B5" s="7" t="s">
        <v>26</v>
      </c>
    </row>
    <row r="7" spans="1:13" x14ac:dyDescent="0.3">
      <c r="A7" s="1" t="s">
        <v>2</v>
      </c>
      <c r="B7" s="1" t="s">
        <v>4</v>
      </c>
      <c r="C7" s="1" t="s">
        <v>5</v>
      </c>
      <c r="D7" s="1" t="s">
        <v>13</v>
      </c>
      <c r="E7" s="1" t="str">
        <f>CONCATENATE(B3, " Contribution")</f>
        <v>Syed Mohammed Jafer Hussain Contribution</v>
      </c>
      <c r="F7" s="1" t="str">
        <f>CONCATENATE(B4, " Contribution")</f>
        <v>Amr Asy Contribution</v>
      </c>
      <c r="G7" s="1" t="str">
        <f>CONCATENATE(B5, " Contribution")</f>
        <v>Saifana Maryam Contribution</v>
      </c>
      <c r="H7" s="1" t="s">
        <v>6</v>
      </c>
      <c r="I7" s="1" t="s">
        <v>3</v>
      </c>
      <c r="M7" s="1"/>
    </row>
    <row r="8" spans="1:13" x14ac:dyDescent="0.3">
      <c r="A8" s="3" t="s">
        <v>20</v>
      </c>
      <c r="B8" s="2">
        <v>25</v>
      </c>
      <c r="C8" s="11">
        <v>0</v>
      </c>
      <c r="D8" s="12"/>
      <c r="E8" s="8">
        <v>1</v>
      </c>
      <c r="F8" s="8">
        <v>0</v>
      </c>
      <c r="G8" s="8">
        <v>0</v>
      </c>
      <c r="H8" t="str">
        <f>IF(SUM(E8:G8)&lt;&gt;1,IF(SUM(E8:G8)=0, "Not implemented", "Error"),"Ok")</f>
        <v>Ok</v>
      </c>
      <c r="I8" s="2"/>
    </row>
    <row r="9" spans="1:13" x14ac:dyDescent="0.3">
      <c r="A9" t="s">
        <v>21</v>
      </c>
      <c r="B9" s="2">
        <v>25</v>
      </c>
      <c r="C9" s="11">
        <v>0</v>
      </c>
      <c r="D9" s="12"/>
      <c r="E9" s="8">
        <v>0</v>
      </c>
      <c r="F9" s="8">
        <v>1</v>
      </c>
      <c r="G9" s="8">
        <v>0</v>
      </c>
      <c r="H9" t="str">
        <f t="shared" ref="H9:H12" si="0">IF(SUM(E9:G9)&lt;&gt;1,IF(SUM(E9:G9)=0, "Not implemented", "Error"),"Ok")</f>
        <v>Ok</v>
      </c>
      <c r="I9" s="2"/>
    </row>
    <row r="10" spans="1:13" x14ac:dyDescent="0.3">
      <c r="A10" t="s">
        <v>22</v>
      </c>
      <c r="B10" s="2">
        <v>25</v>
      </c>
      <c r="C10" s="11">
        <v>0</v>
      </c>
      <c r="D10" s="12"/>
      <c r="E10" s="8">
        <v>0</v>
      </c>
      <c r="F10" s="8">
        <v>0</v>
      </c>
      <c r="G10" s="8">
        <v>1</v>
      </c>
      <c r="H10" t="str">
        <f t="shared" si="0"/>
        <v>Ok</v>
      </c>
      <c r="I10" s="2"/>
    </row>
    <row r="11" spans="1:13" x14ac:dyDescent="0.3">
      <c r="A11" t="s">
        <v>18</v>
      </c>
      <c r="B11" s="2">
        <v>15</v>
      </c>
      <c r="C11" s="11">
        <v>0</v>
      </c>
      <c r="D11" s="12"/>
      <c r="E11" s="14">
        <v>0.33333333333333331</v>
      </c>
      <c r="F11" s="14">
        <v>0.33333333333333331</v>
      </c>
      <c r="G11" s="14">
        <v>0.33333333333333331</v>
      </c>
      <c r="H11" t="str">
        <f>IF(SUM(E11:G11)&lt;&gt;1,IF(SUM(E11:G11)=0, "Not implemented", "Error"),"Ok")</f>
        <v>Ok</v>
      </c>
      <c r="I11" s="2"/>
    </row>
    <row r="12" spans="1:13" x14ac:dyDescent="0.3">
      <c r="A12" t="s">
        <v>19</v>
      </c>
      <c r="B12" s="2">
        <v>10</v>
      </c>
      <c r="C12" s="11">
        <v>0</v>
      </c>
      <c r="D12" s="12"/>
      <c r="E12" s="8">
        <v>0.5</v>
      </c>
      <c r="F12" s="8">
        <v>0</v>
      </c>
      <c r="G12" s="8">
        <v>0.5</v>
      </c>
      <c r="H12" t="str">
        <f t="shared" si="0"/>
        <v>Ok</v>
      </c>
    </row>
    <row r="13" spans="1:13" x14ac:dyDescent="0.3">
      <c r="A13" s="1" t="s">
        <v>7</v>
      </c>
      <c r="B13" s="4">
        <f>SUM(B8:B12)</f>
        <v>100</v>
      </c>
      <c r="C13" s="4">
        <f>SUM(C8:C12)</f>
        <v>0</v>
      </c>
      <c r="D13" s="4"/>
    </row>
    <row r="14" spans="1:13" x14ac:dyDescent="0.3">
      <c r="A14" s="1" t="s">
        <v>8</v>
      </c>
      <c r="B14" s="4"/>
      <c r="C14" s="2"/>
      <c r="D14" s="2"/>
      <c r="E14" s="4">
        <f t="array" ref="E14">SUM(C8:C12*E8:E12)</f>
        <v>0</v>
      </c>
      <c r="F14" s="4">
        <f t="array" ref="F14">SUM(C8:C12*F8:F12)</f>
        <v>0</v>
      </c>
      <c r="G14" s="4">
        <f t="array" ref="G14">SUM(C8:C12*G8:G12)</f>
        <v>0</v>
      </c>
    </row>
    <row r="15" spans="1:13" x14ac:dyDescent="0.3">
      <c r="A15" s="1"/>
      <c r="B15" s="4"/>
      <c r="C15" s="2"/>
      <c r="D15" s="2"/>
    </row>
    <row r="16" spans="1:13" x14ac:dyDescent="0.3">
      <c r="A16" s="1" t="s">
        <v>0</v>
      </c>
    </row>
    <row r="17" spans="1:3" x14ac:dyDescent="0.3">
      <c r="A17" s="2">
        <f>AVERAGE(E14,F14,G14)</f>
        <v>0</v>
      </c>
    </row>
    <row r="19" spans="1:3" x14ac:dyDescent="0.3">
      <c r="A19" s="1" t="s">
        <v>1</v>
      </c>
    </row>
    <row r="20" spans="1:3" x14ac:dyDescent="0.3">
      <c r="A20" t="str">
        <f>B3</f>
        <v>Syed Mohammed Jafer Hussain</v>
      </c>
      <c r="B20" s="5">
        <f>IF(E14=0,0,C13  + C13 *(E14-A17)/A17)</f>
        <v>0</v>
      </c>
    </row>
    <row r="21" spans="1:3" x14ac:dyDescent="0.3">
      <c r="A21" t="str">
        <f>B4</f>
        <v>Amr Asy</v>
      </c>
      <c r="B21" s="5">
        <f>IF(F14=0,0,C13  + C13 *(F14-A17)/A17)</f>
        <v>0</v>
      </c>
    </row>
    <row r="22" spans="1:3" x14ac:dyDescent="0.3">
      <c r="A22" t="str">
        <f>B5</f>
        <v>Saifana Maryam</v>
      </c>
      <c r="B22" s="5">
        <f>IF(G14=0,0,C13  + C13 *(G14-A17)/A17)</f>
        <v>0</v>
      </c>
    </row>
    <row r="23" spans="1:3" x14ac:dyDescent="0.3">
      <c r="B23" s="6"/>
    </row>
    <row r="24" spans="1:3" x14ac:dyDescent="0.3">
      <c r="A24" s="1" t="s">
        <v>12</v>
      </c>
      <c r="B24" s="6"/>
      <c r="C24" s="1" t="s">
        <v>23</v>
      </c>
    </row>
    <row r="25" spans="1:3" x14ac:dyDescent="0.3">
      <c r="A25" s="1" t="str">
        <f>B3</f>
        <v>Syed Mohammed Jafer Hussain</v>
      </c>
      <c r="B25" s="9">
        <f>IF(B20&gt;B13,B13, B20)</f>
        <v>0</v>
      </c>
      <c r="C25" s="1">
        <f>B25/100*50</f>
        <v>0</v>
      </c>
    </row>
    <row r="26" spans="1:3" x14ac:dyDescent="0.3">
      <c r="A26" s="1" t="str">
        <f>B4</f>
        <v>Amr Asy</v>
      </c>
      <c r="B26" s="9">
        <f>IF(B21&gt;B13,B13, B21)</f>
        <v>0</v>
      </c>
      <c r="C26" s="1">
        <f>B26/100*50</f>
        <v>0</v>
      </c>
    </row>
    <row r="27" spans="1:3" x14ac:dyDescent="0.3">
      <c r="A27" s="1" t="str">
        <f>B5</f>
        <v>Saifana Maryam</v>
      </c>
      <c r="B27" s="9">
        <f>IF(B22&gt;B13,B13, B22)</f>
        <v>0</v>
      </c>
      <c r="C27" s="1">
        <f>B27/100*50</f>
        <v>0</v>
      </c>
    </row>
    <row r="29" spans="1:3" x14ac:dyDescent="0.3">
      <c r="A29" s="1" t="s">
        <v>14</v>
      </c>
    </row>
    <row r="30" spans="1:3" ht="88.5" customHeight="1" x14ac:dyDescent="0.3">
      <c r="A30" s="13"/>
    </row>
  </sheetData>
  <sheetProtection sheet="1" selectLockedCells="1"/>
  <pageMargins left="0.70866141732283472" right="0.70866141732283472" top="0.74803149606299213" bottom="0.74803149606299213" header="0.31496062992125984" footer="0.31496062992125984"/>
  <pageSetup paperSize="66" fitToHeight="2" orientation="portrait" verticalDpi="360" r:id="rId1"/>
  <ignoredErrors>
    <ignoredError sqref="H12 H8:H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activeCell="A27" sqref="A27"/>
    </sheetView>
  </sheetViews>
  <sheetFormatPr defaultRowHeight="14.4" x14ac:dyDescent="0.3"/>
  <cols>
    <col min="1" max="1" width="35.88671875" customWidth="1"/>
    <col min="2" max="2" width="15.109375" customWidth="1"/>
    <col min="3" max="3" width="15.6640625" customWidth="1"/>
    <col min="4" max="4" width="36.5546875" customWidth="1"/>
    <col min="5" max="5" width="18" customWidth="1"/>
    <col min="6" max="6" width="16.88671875" customWidth="1"/>
    <col min="7" max="7" width="0.109375" hidden="1" customWidth="1"/>
    <col min="8" max="8" width="23.44140625" customWidth="1"/>
    <col min="9" max="9" width="16.88671875" customWidth="1"/>
    <col min="10" max="10" width="12.6640625" customWidth="1"/>
  </cols>
  <sheetData>
    <row r="1" spans="1:11" ht="21" x14ac:dyDescent="0.4">
      <c r="A1" s="10" t="s">
        <v>15</v>
      </c>
    </row>
    <row r="3" spans="1:11" x14ac:dyDescent="0.3">
      <c r="A3" s="1" t="s">
        <v>9</v>
      </c>
      <c r="B3" s="7" t="s">
        <v>16</v>
      </c>
      <c r="K3" s="1"/>
    </row>
    <row r="4" spans="1:11" x14ac:dyDescent="0.3">
      <c r="A4" s="1" t="s">
        <v>10</v>
      </c>
      <c r="B4" s="7" t="s">
        <v>17</v>
      </c>
    </row>
    <row r="6" spans="1:11" x14ac:dyDescent="0.3">
      <c r="A6" s="1" t="s">
        <v>2</v>
      </c>
      <c r="B6" s="1" t="s">
        <v>4</v>
      </c>
      <c r="C6" s="1" t="s">
        <v>5</v>
      </c>
      <c r="D6" s="1" t="s">
        <v>13</v>
      </c>
      <c r="E6" s="1" t="str">
        <f>CONCATENATE(B3, " Contribution")</f>
        <v>StudentName1 Contribution</v>
      </c>
      <c r="F6" s="1" t="str">
        <f>CONCATENATE(B4, " Contribution")</f>
        <v>StudentName2 Contribution</v>
      </c>
      <c r="G6" s="1" t="s">
        <v>6</v>
      </c>
      <c r="H6" s="1" t="s">
        <v>6</v>
      </c>
    </row>
    <row r="7" spans="1:11" x14ac:dyDescent="0.3">
      <c r="A7" s="3" t="s">
        <v>20</v>
      </c>
      <c r="B7" s="2">
        <v>25</v>
      </c>
      <c r="C7" s="11">
        <v>0</v>
      </c>
      <c r="D7" s="12"/>
      <c r="E7" s="8">
        <v>0</v>
      </c>
      <c r="F7" s="8">
        <v>0</v>
      </c>
      <c r="G7" t="str">
        <f t="shared" ref="G7:G11" si="0">IF(SUM(E7:F7)&lt;&gt;1,IF(SUM(E7:F7)=0, "Not implemented", "Error"),"Ok")</f>
        <v>Not implemented</v>
      </c>
      <c r="H7" t="str">
        <f>IF(SUM(E7:F7)&lt;&gt;1,IF(SUM(E7:F7)=0, "Not implemented", "Error"),"Ok")</f>
        <v>Not implemented</v>
      </c>
    </row>
    <row r="8" spans="1:11" x14ac:dyDescent="0.3">
      <c r="A8" t="s">
        <v>21</v>
      </c>
      <c r="B8" s="2">
        <v>25</v>
      </c>
      <c r="C8" s="11">
        <v>0</v>
      </c>
      <c r="D8" s="12"/>
      <c r="E8" s="8">
        <v>0</v>
      </c>
      <c r="F8" s="8">
        <v>0</v>
      </c>
      <c r="G8" t="str">
        <f t="shared" si="0"/>
        <v>Not implemented</v>
      </c>
      <c r="H8" t="str">
        <f t="shared" ref="H8:H11" si="1">IF(SUM(E8:F8)&lt;&gt;1,IF(SUM(E8:F8)=0, "Not implemented", "Error"),"Ok")</f>
        <v>Not implemented</v>
      </c>
    </row>
    <row r="9" spans="1:11" x14ac:dyDescent="0.3">
      <c r="A9" t="s">
        <v>22</v>
      </c>
      <c r="B9" s="2">
        <v>25</v>
      </c>
      <c r="C9" s="11">
        <v>0</v>
      </c>
      <c r="D9" s="12"/>
      <c r="E9" s="8">
        <v>0</v>
      </c>
      <c r="F9" s="8">
        <v>0</v>
      </c>
      <c r="G9" t="str">
        <f t="shared" si="0"/>
        <v>Not implemented</v>
      </c>
      <c r="H9" t="str">
        <f t="shared" si="1"/>
        <v>Not implemented</v>
      </c>
    </row>
    <row r="10" spans="1:11" x14ac:dyDescent="0.3">
      <c r="A10" t="s">
        <v>18</v>
      </c>
      <c r="B10" s="2">
        <v>15</v>
      </c>
      <c r="C10" s="11">
        <v>0</v>
      </c>
      <c r="D10" s="12"/>
      <c r="E10" s="8">
        <v>0</v>
      </c>
      <c r="F10" s="8">
        <v>0</v>
      </c>
      <c r="G10" t="str">
        <f t="shared" si="0"/>
        <v>Not implemented</v>
      </c>
      <c r="H10" t="str">
        <f t="shared" si="1"/>
        <v>Not implemented</v>
      </c>
    </row>
    <row r="11" spans="1:11" x14ac:dyDescent="0.3">
      <c r="A11" t="s">
        <v>19</v>
      </c>
      <c r="B11" s="2">
        <v>10</v>
      </c>
      <c r="C11" s="11">
        <v>0</v>
      </c>
      <c r="D11" s="12"/>
      <c r="E11" s="8">
        <v>0</v>
      </c>
      <c r="F11" s="8">
        <v>0</v>
      </c>
      <c r="G11" t="str">
        <f t="shared" si="0"/>
        <v>Not implemented</v>
      </c>
      <c r="H11" t="str">
        <f t="shared" si="1"/>
        <v>Not implemented</v>
      </c>
    </row>
    <row r="12" spans="1:11" x14ac:dyDescent="0.3">
      <c r="A12" s="1" t="s">
        <v>7</v>
      </c>
      <c r="B12" s="4">
        <f>SUM(B7:B11)</f>
        <v>100</v>
      </c>
      <c r="C12" s="4">
        <f>SUM(C7:C11)</f>
        <v>0</v>
      </c>
      <c r="D12" s="4"/>
    </row>
    <row r="13" spans="1:11" x14ac:dyDescent="0.3">
      <c r="A13" s="1" t="s">
        <v>8</v>
      </c>
      <c r="B13" s="4"/>
      <c r="C13" s="2"/>
      <c r="D13" s="2"/>
      <c r="E13" s="4">
        <f t="array" ref="E13">SUM(C7:C11*E7:E11)</f>
        <v>0</v>
      </c>
      <c r="F13" s="4">
        <f t="array" ref="F13">SUM(C7:C11*F7:F11)</f>
        <v>0</v>
      </c>
    </row>
    <row r="15" spans="1:11" x14ac:dyDescent="0.3">
      <c r="A15" s="1" t="s">
        <v>0</v>
      </c>
    </row>
    <row r="16" spans="1:11" x14ac:dyDescent="0.3">
      <c r="A16" s="2">
        <f>AVERAGE(E13,F13)</f>
        <v>0</v>
      </c>
    </row>
    <row r="18" spans="1:3" x14ac:dyDescent="0.3">
      <c r="A18" s="1" t="s">
        <v>1</v>
      </c>
    </row>
    <row r="19" spans="1:3" x14ac:dyDescent="0.3">
      <c r="A19" t="str">
        <f>B3</f>
        <v>StudentName1</v>
      </c>
      <c r="B19" s="5">
        <f>IF(E13=0,0,C12 + C12 *(E13-A16)/A16)</f>
        <v>0</v>
      </c>
    </row>
    <row r="20" spans="1:3" x14ac:dyDescent="0.3">
      <c r="A20" t="str">
        <f>B4</f>
        <v>StudentName2</v>
      </c>
      <c r="B20" s="5">
        <f>IF(F13=0,0,C12 + C12 *(F13-A16)/A16)</f>
        <v>0</v>
      </c>
    </row>
    <row r="21" spans="1:3" x14ac:dyDescent="0.3">
      <c r="B21" s="6"/>
    </row>
    <row r="22" spans="1:3" x14ac:dyDescent="0.3">
      <c r="A22" s="1" t="s">
        <v>12</v>
      </c>
      <c r="B22" s="6"/>
      <c r="C22" s="1" t="s">
        <v>23</v>
      </c>
    </row>
    <row r="23" spans="1:3" x14ac:dyDescent="0.3">
      <c r="A23" s="1" t="str">
        <f>B3</f>
        <v>StudentName1</v>
      </c>
      <c r="B23" s="9">
        <f>IF(B19&gt;B12,B12, B19)</f>
        <v>0</v>
      </c>
      <c r="C23" s="1">
        <f>B23/100*50</f>
        <v>0</v>
      </c>
    </row>
    <row r="24" spans="1:3" x14ac:dyDescent="0.3">
      <c r="A24" s="1" t="str">
        <f>B4</f>
        <v>StudentName2</v>
      </c>
      <c r="B24" s="9">
        <f>IF(B20&gt;B12,B12, B20)</f>
        <v>0</v>
      </c>
      <c r="C24" s="1">
        <f>B24/100*50</f>
        <v>0</v>
      </c>
    </row>
    <row r="26" spans="1:3" x14ac:dyDescent="0.3">
      <c r="A26" s="1" t="s">
        <v>14</v>
      </c>
    </row>
    <row r="27" spans="1:3" ht="109.5" customHeight="1" x14ac:dyDescent="0.3">
      <c r="A27" s="13"/>
    </row>
  </sheetData>
  <sheetProtection sheet="1" selectLockedCells="1"/>
  <pageMargins left="0.7" right="0.7" top="0.75" bottom="0.75" header="0.3" footer="0.3"/>
  <pageSetup paperSize="66" orientation="landscape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4D76328569F43B69913F006A221B2" ma:contentTypeVersion="18" ma:contentTypeDescription="Create a new document." ma:contentTypeScope="" ma:versionID="56a22f8d817eb20ed3693209c2a5d799">
  <xsd:schema xmlns:xsd="http://www.w3.org/2001/XMLSchema" xmlns:xs="http://www.w3.org/2001/XMLSchema" xmlns:p="http://schemas.microsoft.com/office/2006/metadata/properties" xmlns:ns3="13086975-c1d0-4a06-9c64-3fd990a1352b" xmlns:ns4="f8d07fca-19e9-492a-8c2e-699b0725e001" targetNamespace="http://schemas.microsoft.com/office/2006/metadata/properties" ma:root="true" ma:fieldsID="cc6f122d176e53dc02b49ce47b3b9659" ns3:_="" ns4:_="">
    <xsd:import namespace="13086975-c1d0-4a06-9c64-3fd990a1352b"/>
    <xsd:import namespace="f8d07fca-19e9-492a-8c2e-699b0725e0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86975-c1d0-4a06-9c64-3fd990a13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07fca-19e9-492a-8c2e-699b0725e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086975-c1d0-4a06-9c64-3fd990a1352b" xsi:nil="true"/>
  </documentManagement>
</p:properties>
</file>

<file path=customXml/itemProps1.xml><?xml version="1.0" encoding="utf-8"?>
<ds:datastoreItem xmlns:ds="http://schemas.openxmlformats.org/officeDocument/2006/customXml" ds:itemID="{85932C06-FB31-498A-8232-D2B799F2D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086975-c1d0-4a06-9c64-3fd990a1352b"/>
    <ds:schemaRef ds:uri="f8d07fca-19e9-492a-8c2e-699b0725e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CA5D7B-7CC0-427F-B0CE-DC2F534D9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851950-2E95-4230-BEB3-A25E4F3EE83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f8d07fca-19e9-492a-8c2e-699b0725e00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3086975-c1d0-4a06-9c64-3fd990a135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Size 3</vt:lpstr>
      <vt:lpstr>Group Size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0x010100B5E4D76328569F43B69913F006A221B2</vt:lpwstr>
  </property>
</Properties>
</file>